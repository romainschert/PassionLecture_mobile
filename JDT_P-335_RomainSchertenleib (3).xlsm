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Docker\PassionLecture_mobile\"/>
    </mc:Choice>
  </mc:AlternateContent>
  <xr:revisionPtr revIDLastSave="0" documentId="13_ncr:1_{463172ED-4DBC-48C4-8CE0-3F52BFA1FB0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D134" i="157" s="1"/>
  <c r="B151" i="157"/>
  <c r="B132" i="157"/>
  <c r="B113" i="157"/>
  <c r="B94" i="157"/>
  <c r="B75" i="157"/>
  <c r="B56" i="157"/>
  <c r="B37" i="157"/>
  <c r="B18" i="157"/>
  <c r="B15" i="156"/>
  <c r="B13" i="156"/>
  <c r="B11" i="156"/>
  <c r="B9" i="156"/>
  <c r="B7" i="156"/>
  <c r="B5" i="156"/>
  <c r="C18" i="156"/>
  <c r="C17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<sst xmlns="http://schemas.openxmlformats.org/spreadsheetml/2006/main" count="191" uniqueCount="53">
  <si>
    <t>Module :</t>
  </si>
  <si>
    <t>P-183</t>
  </si>
  <si>
    <t>Prénom - nom :</t>
  </si>
  <si>
    <t>Romain Schertenleib</t>
  </si>
  <si>
    <t>Classe :</t>
  </si>
  <si>
    <t>Mid2b</t>
  </si>
  <si>
    <t>Lieu :</t>
  </si>
  <si>
    <t>Lausanne, Venne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</si>
  <si>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</si>
  <si>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</si>
  <si>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</si>
  <si>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</si>
  <si>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</si>
  <si>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</si>
  <si>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</si>
  <si>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</si>
  <si>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</si>
  <si>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Journal de travail</t>
  </si>
  <si>
    <t>planification</t>
  </si>
  <si>
    <t>Coder</t>
  </si>
  <si>
    <t>documentation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</si>
  <si>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</si>
  <si>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</si>
  <si>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</si>
  <si>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</si>
  <si>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</si>
  <si>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</si>
  <si>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</si>
  <si>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</si>
  <si>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</si>
  <si>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</si>
  <si>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</si>
  <si>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</si>
  <si>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</si>
  <si>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</si>
  <si>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</si>
  <si>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</si>
  <si>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</si>
  <si>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</si>
  <si>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 xml:space="preserve">Lecture du CDC avec M.schaffter et reponse au question sur le projet </t>
  </si>
  <si>
    <t>planifier les deux prochaine semaine afin d'avoir deux semaines d'avance comme demander</t>
  </si>
  <si>
    <t>Rapport</t>
  </si>
  <si>
    <t>creation du fichier de Rapport</t>
  </si>
  <si>
    <t>creation du JDT</t>
  </si>
  <si>
    <t>remplire le rapport avec les bon titres et bonne rubrique</t>
  </si>
  <si>
    <t>remplire le JDT avec le tache de la journée</t>
  </si>
  <si>
    <t xml:space="preserve">chercher par ou commencer </t>
  </si>
  <si>
    <t>Max. 9</t>
  </si>
  <si>
    <t>commencer le projet reelement crée les fichiers etc</t>
  </si>
  <si>
    <t>fait la liaison avec la basse de données</t>
  </si>
  <si>
    <t xml:space="preserve">faire le register et le login </t>
  </si>
  <si>
    <t>STOP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</si>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</sst>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17" fillId="6" borderId="35" xfId="0" applyFont="1" applyFill="1" applyBorder="1" applyAlignment="1">
      <alignment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abSelected="1"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45737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45807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2" t="s">
        <v>14</v>
      </c>
      <c r="C19" s="113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748F-F0A0-496F-A9E2-43A045DF74E3}">
  <sheetPr codeName="Feuil7"/>
  <dimension ref="A1:BW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75" ht="14.25" thickBot="1" x14ac:dyDescent="0.3">
      <c r="B1" s="21"/>
      <c r="C1" s="21"/>
    </row>
    <row r="2" spans="1:75" ht="42.75" customHeight="1" thickBot="1" x14ac:dyDescent="0.3">
      <c r="A2" s="19"/>
      <c r="B2" s="23" t="s">
        <v>21</v>
      </c>
      <c r="C2" s="15" t="s">
        <v>22</v>
      </c>
      <c r="D2" s="114" t="s">
        <v>23</v>
      </c>
      <c r="E2" s="115"/>
      <c r="F2" s="115"/>
      <c r="G2" s="115"/>
      <c r="H2" s="115"/>
      <c r="I2" s="115"/>
      <c r="J2" s="115"/>
      <c r="K2" s="115"/>
      <c r="L2" s="116"/>
      <c r="M2" s="114" t="s">
        <v>24</v>
      </c>
      <c r="N2" s="115"/>
      <c r="O2" s="115"/>
      <c r="P2" s="115"/>
      <c r="Q2" s="115"/>
      <c r="R2" s="115"/>
      <c r="S2" s="115"/>
      <c r="T2" s="115"/>
      <c r="U2" s="116"/>
      <c r="V2" s="114" t="s">
        <v>25</v>
      </c>
      <c r="W2" s="115"/>
      <c r="X2" s="115"/>
      <c r="Y2" s="115"/>
      <c r="Z2" s="115"/>
      <c r="AA2" s="115"/>
      <c r="AB2" s="115"/>
      <c r="AC2" s="115"/>
      <c r="AD2" s="116"/>
      <c r="AE2" s="114" t="s">
        <v>26</v>
      </c>
      <c r="AF2" s="115"/>
      <c r="AG2" s="115"/>
      <c r="AH2" s="115"/>
      <c r="AI2" s="115"/>
      <c r="AJ2" s="115"/>
      <c r="AK2" s="115"/>
      <c r="AL2" s="115"/>
      <c r="AM2" s="116"/>
      <c r="AN2" s="114" t="s">
        <v>27</v>
      </c>
      <c r="AO2" s="115"/>
      <c r="AP2" s="115"/>
      <c r="AQ2" s="115"/>
      <c r="AR2" s="115"/>
      <c r="AS2" s="115"/>
      <c r="AT2" s="115"/>
      <c r="AU2" s="115"/>
      <c r="AV2" s="116"/>
      <c r="AW2" s="114" t="s">
        <v>28</v>
      </c>
      <c r="AX2" s="115"/>
      <c r="AY2" s="115"/>
      <c r="AZ2" s="115"/>
      <c r="BA2" s="115"/>
      <c r="BB2" s="115"/>
      <c r="BC2" s="115"/>
      <c r="BD2" s="115"/>
      <c r="BE2" s="116"/>
      <c r="BF2" s="114" t="s">
        <v>29</v>
      </c>
      <c r="BG2" s="115"/>
      <c r="BH2" s="115"/>
      <c r="BI2" s="115"/>
      <c r="BJ2" s="115"/>
      <c r="BK2" s="115"/>
      <c r="BL2" s="115"/>
      <c r="BM2" s="115"/>
      <c r="BN2" s="116"/>
      <c r="BO2" s="114" t="s">
        <v>30</v>
      </c>
      <c r="BP2" s="115"/>
      <c r="BQ2" s="115"/>
      <c r="BR2" s="115"/>
      <c r="BS2" s="115"/>
      <c r="BT2" s="115"/>
      <c r="BU2" s="115"/>
      <c r="BV2" s="115"/>
      <c r="BW2" s="116"/>
    </row>
    <row r="3" spans="1:75" ht="19.5" customHeight="1" x14ac:dyDescent="0.25">
      <c r="A3" s="19"/>
      <c r="B3" s="119" t="s">
        <v>16</v>
      </c>
      <c r="C3" s="16">
        <v>0</v>
      </c>
      <c r="D3" s="88"/>
      <c r="E3" s="89"/>
      <c r="F3" s="90"/>
      <c r="G3" s="91"/>
      <c r="H3" s="89"/>
      <c r="I3" s="90"/>
      <c r="J3" s="91"/>
      <c r="K3" s="89"/>
      <c r="L3" s="92"/>
      <c r="M3" s="88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2"/>
      <c r="AE3" s="88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91"/>
      <c r="AU3" s="89"/>
      <c r="AV3" s="92"/>
      <c r="AW3" s="88"/>
      <c r="AX3" s="89"/>
      <c r="AY3" s="90"/>
      <c r="AZ3" s="91"/>
      <c r="BA3" s="89"/>
      <c r="BB3" s="90"/>
      <c r="BC3" s="91"/>
      <c r="BD3" s="89"/>
      <c r="BE3" s="92"/>
      <c r="BF3" s="88"/>
      <c r="BG3" s="89"/>
      <c r="BH3" s="90"/>
      <c r="BI3" s="91"/>
      <c r="BJ3" s="89"/>
      <c r="BK3" s="90"/>
      <c r="BL3" s="91"/>
      <c r="BM3" s="89"/>
      <c r="BN3" s="92"/>
      <c r="BO3" s="88"/>
      <c r="BP3" s="89"/>
      <c r="BQ3" s="90"/>
      <c r="BR3" s="91"/>
      <c r="BS3" s="89"/>
      <c r="BT3" s="90"/>
      <c r="BU3" s="91"/>
      <c r="BV3" s="89"/>
      <c r="BW3" s="92"/>
    </row>
    <row r="4" spans="1:75" ht="19.5" customHeight="1" thickBot="1" x14ac:dyDescent="0.3">
      <c r="A4" s="19"/>
      <c r="B4" s="120"/>
      <c r="C4" s="22">
        <v>0</v>
      </c>
      <c r="D4" s="93"/>
      <c r="E4" s="94"/>
      <c r="F4" s="95"/>
      <c r="G4" s="96"/>
      <c r="H4" s="94"/>
      <c r="I4" s="95"/>
      <c r="J4" s="96"/>
      <c r="K4" s="94"/>
      <c r="L4" s="97"/>
      <c r="M4" s="93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7"/>
      <c r="AE4" s="93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94"/>
      <c r="AS4" s="95"/>
      <c r="AT4" s="96"/>
      <c r="AU4" s="94"/>
      <c r="AV4" s="97"/>
      <c r="AW4" s="93"/>
      <c r="AX4" s="94"/>
      <c r="AY4" s="95"/>
      <c r="AZ4" s="96"/>
      <c r="BA4" s="94"/>
      <c r="BB4" s="95"/>
      <c r="BC4" s="96"/>
      <c r="BD4" s="94"/>
      <c r="BE4" s="97"/>
      <c r="BF4" s="93"/>
      <c r="BG4" s="94"/>
      <c r="BH4" s="95"/>
      <c r="BI4" s="96"/>
      <c r="BJ4" s="94"/>
      <c r="BK4" s="95"/>
      <c r="BL4" s="96"/>
      <c r="BM4" s="94"/>
      <c r="BN4" s="97"/>
      <c r="BO4" s="93"/>
      <c r="BP4" s="94"/>
      <c r="BQ4" s="95"/>
      <c r="BR4" s="96"/>
      <c r="BS4" s="94"/>
      <c r="BT4" s="95"/>
      <c r="BU4" s="96"/>
      <c r="BV4" s="94"/>
      <c r="BW4" s="97"/>
    </row>
    <row r="5" spans="1:75" ht="19.5" customHeight="1" x14ac:dyDescent="0.25">
      <c r="B5" s="121">
        <f>Donnees!$C$21</f>
        <v>0</v>
      </c>
      <c r="C5" s="98">
        <v>0</v>
      </c>
      <c r="D5" s="88"/>
      <c r="E5" s="89"/>
      <c r="F5" s="90"/>
      <c r="G5" s="91"/>
      <c r="H5" s="89"/>
      <c r="I5" s="90"/>
      <c r="J5" s="91"/>
      <c r="K5" s="89"/>
      <c r="L5" s="92"/>
      <c r="M5" s="88"/>
      <c r="N5" s="89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2"/>
      <c r="AE5" s="88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2"/>
      <c r="AW5" s="88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2"/>
      <c r="BO5" s="88"/>
      <c r="BP5" s="89"/>
      <c r="BQ5" s="90"/>
      <c r="BR5" s="91"/>
      <c r="BS5" s="89"/>
      <c r="BT5" s="90"/>
      <c r="BU5" s="91"/>
      <c r="BV5" s="89"/>
      <c r="BW5" s="92"/>
    </row>
    <row r="6" spans="1:75" ht="19.5" customHeight="1" thickBot="1" x14ac:dyDescent="0.3">
      <c r="B6" s="118"/>
      <c r="C6" s="99">
        <v>0</v>
      </c>
      <c r="D6" s="93"/>
      <c r="E6" s="94"/>
      <c r="F6" s="95"/>
      <c r="G6" s="96"/>
      <c r="H6" s="94"/>
      <c r="I6" s="95"/>
      <c r="J6" s="96"/>
      <c r="K6" s="94"/>
      <c r="L6" s="97"/>
      <c r="M6" s="93"/>
      <c r="N6" s="94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7"/>
      <c r="AE6" s="93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7"/>
      <c r="AW6" s="93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7"/>
      <c r="BO6" s="93"/>
      <c r="BP6" s="94"/>
      <c r="BQ6" s="95"/>
      <c r="BR6" s="96"/>
      <c r="BS6" s="94"/>
      <c r="BT6" s="95"/>
      <c r="BU6" s="96"/>
      <c r="BV6" s="94"/>
      <c r="BW6" s="97"/>
    </row>
    <row r="7" spans="1:75" ht="19.5" customHeight="1" x14ac:dyDescent="0.25">
      <c r="B7" s="117">
        <f>Donnees!$C$22</f>
        <v>0</v>
      </c>
      <c r="C7" s="98">
        <v>0</v>
      </c>
      <c r="D7" s="88"/>
      <c r="E7" s="89"/>
      <c r="F7" s="90"/>
      <c r="G7" s="91"/>
      <c r="H7" s="89"/>
      <c r="I7" s="90"/>
      <c r="J7" s="91"/>
      <c r="K7" s="89"/>
      <c r="L7" s="92"/>
      <c r="M7" s="88"/>
      <c r="N7" s="89"/>
      <c r="O7" s="90"/>
      <c r="P7" s="91"/>
      <c r="Q7" s="89"/>
      <c r="R7" s="90"/>
      <c r="S7" s="91"/>
      <c r="T7" s="89"/>
      <c r="U7" s="92"/>
      <c r="V7" s="88"/>
      <c r="W7" s="89"/>
      <c r="X7" s="90"/>
      <c r="Y7" s="91"/>
      <c r="Z7" s="89"/>
      <c r="AA7" s="90"/>
      <c r="AB7" s="91"/>
      <c r="AC7" s="89"/>
      <c r="AD7" s="92"/>
      <c r="AE7" s="88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2"/>
      <c r="AW7" s="88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2"/>
      <c r="BO7" s="88"/>
      <c r="BP7" s="89"/>
      <c r="BQ7" s="90"/>
      <c r="BR7" s="91"/>
      <c r="BS7" s="89"/>
      <c r="BT7" s="90"/>
      <c r="BU7" s="91"/>
      <c r="BV7" s="89"/>
      <c r="BW7" s="92"/>
    </row>
    <row r="8" spans="1:75" ht="19.5" customHeight="1" thickBot="1" x14ac:dyDescent="0.3">
      <c r="B8" s="118"/>
      <c r="C8" s="99">
        <v>0</v>
      </c>
      <c r="D8" s="93"/>
      <c r="E8" s="94"/>
      <c r="F8" s="95"/>
      <c r="G8" s="96"/>
      <c r="H8" s="94"/>
      <c r="I8" s="95"/>
      <c r="J8" s="96"/>
      <c r="K8" s="94"/>
      <c r="L8" s="97"/>
      <c r="M8" s="93"/>
      <c r="N8" s="94"/>
      <c r="O8" s="95"/>
      <c r="P8" s="96"/>
      <c r="Q8" s="94"/>
      <c r="R8" s="95"/>
      <c r="S8" s="96"/>
      <c r="T8" s="94"/>
      <c r="U8" s="97"/>
      <c r="V8" s="93"/>
      <c r="W8" s="94"/>
      <c r="X8" s="95"/>
      <c r="Y8" s="96"/>
      <c r="Z8" s="94"/>
      <c r="AA8" s="95"/>
      <c r="AB8" s="96"/>
      <c r="AC8" s="94"/>
      <c r="AD8" s="97"/>
      <c r="AE8" s="93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7"/>
      <c r="AW8" s="93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7"/>
      <c r="BO8" s="93"/>
      <c r="BP8" s="94"/>
      <c r="BQ8" s="95"/>
      <c r="BR8" s="96"/>
      <c r="BS8" s="94"/>
      <c r="BT8" s="95"/>
      <c r="BU8" s="96"/>
      <c r="BV8" s="94"/>
      <c r="BW8" s="97"/>
    </row>
    <row r="9" spans="1:75" ht="19.5" customHeight="1" x14ac:dyDescent="0.25">
      <c r="B9" s="117">
        <f>Donnees!$C$23</f>
        <v>0</v>
      </c>
      <c r="C9" s="98">
        <v>0</v>
      </c>
      <c r="D9" s="88"/>
      <c r="E9" s="89"/>
      <c r="F9" s="90"/>
      <c r="G9" s="91"/>
      <c r="H9" s="89"/>
      <c r="I9" s="90"/>
      <c r="J9" s="91"/>
      <c r="K9" s="89"/>
      <c r="L9" s="92"/>
      <c r="M9" s="88"/>
      <c r="N9" s="89"/>
      <c r="O9" s="90"/>
      <c r="P9" s="91"/>
      <c r="Q9" s="89"/>
      <c r="R9" s="90"/>
      <c r="S9" s="91"/>
      <c r="T9" s="89"/>
      <c r="U9" s="92"/>
      <c r="V9" s="88"/>
      <c r="W9" s="89"/>
      <c r="X9" s="90"/>
      <c r="Y9" s="91"/>
      <c r="Z9" s="89"/>
      <c r="AA9" s="90"/>
      <c r="AB9" s="91"/>
      <c r="AC9" s="89"/>
      <c r="AD9" s="92"/>
      <c r="AE9" s="88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2"/>
      <c r="AW9" s="88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2"/>
      <c r="BO9" s="88"/>
      <c r="BP9" s="89"/>
      <c r="BQ9" s="90"/>
      <c r="BR9" s="91"/>
      <c r="BS9" s="89"/>
      <c r="BT9" s="90"/>
      <c r="BU9" s="91"/>
      <c r="BV9" s="89"/>
      <c r="BW9" s="92"/>
    </row>
    <row r="10" spans="1:75" ht="19.5" customHeight="1" thickBot="1" x14ac:dyDescent="0.3">
      <c r="B10" s="118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7"/>
      <c r="M10" s="93"/>
      <c r="N10" s="94"/>
      <c r="O10" s="95"/>
      <c r="P10" s="96"/>
      <c r="Q10" s="94"/>
      <c r="R10" s="95"/>
      <c r="S10" s="96"/>
      <c r="T10" s="94"/>
      <c r="U10" s="97"/>
      <c r="V10" s="93"/>
      <c r="W10" s="94"/>
      <c r="X10" s="95"/>
      <c r="Y10" s="96"/>
      <c r="Z10" s="94"/>
      <c r="AA10" s="95"/>
      <c r="AB10" s="96"/>
      <c r="AC10" s="94"/>
      <c r="AD10" s="97"/>
      <c r="AE10" s="93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7"/>
      <c r="AW10" s="93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7"/>
      <c r="BO10" s="93"/>
      <c r="BP10" s="94"/>
      <c r="BQ10" s="95"/>
      <c r="BR10" s="96"/>
      <c r="BS10" s="94"/>
      <c r="BT10" s="95"/>
      <c r="BU10" s="96"/>
      <c r="BV10" s="94"/>
      <c r="BW10" s="97"/>
    </row>
    <row r="11" spans="1:75" ht="19.5" customHeight="1" x14ac:dyDescent="0.25">
      <c r="B11" s="117">
        <f>Donnees!$C$24</f>
        <v>0</v>
      </c>
      <c r="C11" s="98">
        <v>0</v>
      </c>
      <c r="D11" s="88"/>
      <c r="E11" s="89"/>
      <c r="F11" s="90"/>
      <c r="G11" s="91"/>
      <c r="H11" s="89"/>
      <c r="I11" s="90"/>
      <c r="J11" s="91"/>
      <c r="K11" s="89"/>
      <c r="L11" s="92"/>
      <c r="M11" s="88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2"/>
      <c r="AE11" s="88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90"/>
      <c r="AQ11" s="91"/>
      <c r="AR11" s="89"/>
      <c r="AS11" s="90"/>
      <c r="AT11" s="91"/>
      <c r="AU11" s="89"/>
      <c r="AV11" s="92"/>
      <c r="AW11" s="88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2"/>
      <c r="BO11" s="88"/>
      <c r="BP11" s="89"/>
      <c r="BQ11" s="90"/>
      <c r="BR11" s="91"/>
      <c r="BS11" s="89"/>
      <c r="BT11" s="90"/>
      <c r="BU11" s="91"/>
      <c r="BV11" s="89"/>
      <c r="BW11" s="92"/>
    </row>
    <row r="12" spans="1:75" ht="19.5" customHeight="1" thickBot="1" x14ac:dyDescent="0.3">
      <c r="B12" s="118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7"/>
      <c r="M12" s="93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7"/>
      <c r="AE12" s="93"/>
      <c r="AF12" s="94"/>
      <c r="AG12" s="95"/>
      <c r="AH12" s="96"/>
      <c r="AI12" s="94"/>
      <c r="AJ12" s="95"/>
      <c r="AK12" s="96"/>
      <c r="AL12" s="94"/>
      <c r="AM12" s="97"/>
      <c r="AN12" s="93"/>
      <c r="AO12" s="94"/>
      <c r="AP12" s="95"/>
      <c r="AQ12" s="96"/>
      <c r="AR12" s="94"/>
      <c r="AS12" s="95"/>
      <c r="AT12" s="96"/>
      <c r="AU12" s="94"/>
      <c r="AV12" s="97"/>
      <c r="AW12" s="93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7"/>
      <c r="BO12" s="93"/>
      <c r="BP12" s="94"/>
      <c r="BQ12" s="95"/>
      <c r="BR12" s="96"/>
      <c r="BS12" s="94"/>
      <c r="BT12" s="95"/>
      <c r="BU12" s="96"/>
      <c r="BV12" s="94"/>
      <c r="BW12" s="97"/>
    </row>
    <row r="13" spans="1:75" ht="19.5" customHeight="1" x14ac:dyDescent="0.25">
      <c r="B13" s="117">
        <f>Donnees!$C$25</f>
        <v>0</v>
      </c>
      <c r="C13" s="98">
        <v>0</v>
      </c>
      <c r="D13" s="88"/>
      <c r="E13" s="89"/>
      <c r="F13" s="90"/>
      <c r="G13" s="91"/>
      <c r="H13" s="89"/>
      <c r="I13" s="90"/>
      <c r="J13" s="91"/>
      <c r="K13" s="89"/>
      <c r="L13" s="92"/>
      <c r="M13" s="88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91"/>
      <c r="Z13" s="89"/>
      <c r="AA13" s="90"/>
      <c r="AB13" s="91"/>
      <c r="AC13" s="89"/>
      <c r="AD13" s="92"/>
      <c r="AE13" s="88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2"/>
      <c r="AW13" s="88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2"/>
      <c r="BO13" s="88"/>
      <c r="BP13" s="89"/>
      <c r="BQ13" s="90"/>
      <c r="BR13" s="91"/>
      <c r="BS13" s="89"/>
      <c r="BT13" s="90"/>
      <c r="BU13" s="91"/>
      <c r="BV13" s="89"/>
      <c r="BW13" s="92"/>
    </row>
    <row r="14" spans="1:75" ht="19.5" customHeight="1" thickBot="1" x14ac:dyDescent="0.3">
      <c r="B14" s="118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7"/>
      <c r="M14" s="93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96"/>
      <c r="Z14" s="94"/>
      <c r="AA14" s="95"/>
      <c r="AB14" s="96"/>
      <c r="AC14" s="94"/>
      <c r="AD14" s="97"/>
      <c r="AE14" s="93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7"/>
      <c r="AW14" s="93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7"/>
      <c r="BO14" s="93"/>
      <c r="BP14" s="94"/>
      <c r="BQ14" s="95"/>
      <c r="BR14" s="96"/>
      <c r="BS14" s="94"/>
      <c r="BT14" s="95"/>
      <c r="BU14" s="96"/>
      <c r="BV14" s="94"/>
      <c r="BW14" s="97"/>
    </row>
    <row r="15" spans="1:75" ht="19.5" customHeight="1" x14ac:dyDescent="0.25">
      <c r="B15" s="117">
        <f>Donnees!$C$26</f>
        <v>0</v>
      </c>
      <c r="C15" s="98">
        <v>0</v>
      </c>
      <c r="D15" s="88"/>
      <c r="E15" s="89"/>
      <c r="F15" s="90"/>
      <c r="G15" s="91"/>
      <c r="H15" s="89"/>
      <c r="I15" s="90"/>
      <c r="J15" s="91"/>
      <c r="K15" s="89"/>
      <c r="L15" s="92"/>
      <c r="M15" s="88"/>
      <c r="N15" s="89"/>
      <c r="O15" s="90"/>
      <c r="P15" s="91"/>
      <c r="Q15" s="89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2"/>
      <c r="AE15" s="88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2"/>
      <c r="AW15" s="88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2"/>
      <c r="BO15" s="88"/>
      <c r="BP15" s="89"/>
      <c r="BQ15" s="90"/>
      <c r="BR15" s="91"/>
      <c r="BS15" s="89"/>
      <c r="BT15" s="90"/>
      <c r="BU15" s="91"/>
      <c r="BV15" s="89"/>
      <c r="BW15" s="92"/>
    </row>
    <row r="16" spans="1:75" ht="19.5" customHeight="1" x14ac:dyDescent="0.25">
      <c r="A16" s="41"/>
      <c r="B16" s="118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7"/>
      <c r="M16" s="93"/>
      <c r="N16" s="94"/>
      <c r="O16" s="95"/>
      <c r="P16" s="96"/>
      <c r="Q16" s="94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7"/>
      <c r="AE16" s="93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7"/>
      <c r="AW16" s="93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7"/>
      <c r="BO16" s="93"/>
      <c r="BP16" s="94"/>
      <c r="BQ16" s="95"/>
      <c r="BR16" s="96"/>
      <c r="BS16" s="94"/>
      <c r="BT16" s="95"/>
      <c r="BU16" s="96"/>
      <c r="BV16" s="94"/>
      <c r="BW16" s="97"/>
    </row>
    <row r="17" spans="2:75" ht="19.5" customHeight="1" x14ac:dyDescent="0.25">
      <c r="B17" s="25" t="s">
        <v>31</v>
      </c>
      <c r="C17" s="27">
        <f>SUM($C$3,$C$5,$C$7,$C$9,$C$11,$C$13,$C$15)</f>
        <v>0</v>
      </c>
      <c r="D17" s="100"/>
      <c r="E17" s="101"/>
      <c r="F17" s="101"/>
      <c r="G17" s="101"/>
      <c r="H17" s="101"/>
      <c r="I17" s="101"/>
      <c r="J17" s="101"/>
      <c r="K17" s="101"/>
      <c r="L17" s="102"/>
      <c r="M17" s="100"/>
      <c r="N17" s="101"/>
      <c r="O17" s="101"/>
      <c r="P17" s="101"/>
      <c r="Q17" s="101"/>
      <c r="R17" s="101"/>
      <c r="S17" s="101"/>
      <c r="T17" s="101"/>
      <c r="U17" s="102"/>
      <c r="V17" s="100"/>
      <c r="W17" s="101"/>
      <c r="X17" s="101"/>
      <c r="Y17" s="101"/>
      <c r="Z17" s="101"/>
      <c r="AA17" s="101"/>
      <c r="AB17" s="101"/>
      <c r="AC17" s="101"/>
      <c r="AD17" s="102"/>
      <c r="AE17" s="100"/>
      <c r="AF17" s="101"/>
      <c r="AG17" s="101"/>
      <c r="AH17" s="101"/>
      <c r="AI17" s="101"/>
      <c r="AJ17" s="101"/>
      <c r="AK17" s="101"/>
      <c r="AL17" s="101"/>
      <c r="AM17" s="102"/>
      <c r="AN17" s="100"/>
      <c r="AO17" s="101"/>
      <c r="AP17" s="101"/>
      <c r="AQ17" s="101"/>
      <c r="AR17" s="101"/>
      <c r="AS17" s="101"/>
      <c r="AT17" s="101"/>
      <c r="AU17" s="101"/>
      <c r="AV17" s="102"/>
      <c r="AW17" s="100"/>
      <c r="AX17" s="101"/>
      <c r="AY17" s="101"/>
      <c r="AZ17" s="101"/>
      <c r="BA17" s="101"/>
      <c r="BB17" s="101"/>
      <c r="BC17" s="101"/>
      <c r="BD17" s="101"/>
      <c r="BE17" s="102"/>
      <c r="BF17" s="100"/>
      <c r="BG17" s="101"/>
      <c r="BH17" s="101"/>
      <c r="BI17" s="101"/>
      <c r="BJ17" s="101"/>
      <c r="BK17" s="101"/>
      <c r="BL17" s="101"/>
      <c r="BM17" s="101"/>
      <c r="BN17" s="102"/>
      <c r="BO17" s="100"/>
      <c r="BP17" s="101"/>
      <c r="BQ17" s="101"/>
      <c r="BR17" s="101"/>
      <c r="BS17" s="101"/>
      <c r="BT17" s="101"/>
      <c r="BU17" s="101"/>
      <c r="BV17" s="101"/>
      <c r="BW17" s="102"/>
    </row>
    <row r="18" spans="2:75" ht="19.5" customHeight="1" thickBot="1" x14ac:dyDescent="0.3">
      <c r="B18" s="26" t="s">
        <v>32</v>
      </c>
      <c r="C18" s="28">
        <f>SUM($C$4,$C$6,$C$8,$C$10,$C$12,$C$14,$C$16)</f>
        <v>0</v>
      </c>
      <c r="D18" s="103"/>
      <c r="E18" s="104"/>
      <c r="F18" s="104"/>
      <c r="G18" s="104"/>
      <c r="H18" s="104"/>
      <c r="I18" s="104"/>
      <c r="J18" s="104"/>
      <c r="K18" s="104"/>
      <c r="L18" s="105"/>
      <c r="M18" s="103"/>
      <c r="N18" s="104"/>
      <c r="O18" s="104"/>
      <c r="P18" s="104"/>
      <c r="Q18" s="104"/>
      <c r="R18" s="104"/>
      <c r="S18" s="104"/>
      <c r="T18" s="104"/>
      <c r="U18" s="105"/>
      <c r="V18" s="103"/>
      <c r="W18" s="104"/>
      <c r="X18" s="104"/>
      <c r="Y18" s="104"/>
      <c r="Z18" s="104"/>
      <c r="AA18" s="104"/>
      <c r="AB18" s="104"/>
      <c r="AC18" s="104"/>
      <c r="AD18" s="105"/>
      <c r="AE18" s="103"/>
      <c r="AF18" s="104"/>
      <c r="AG18" s="104"/>
      <c r="AH18" s="104"/>
      <c r="AI18" s="104"/>
      <c r="AJ18" s="104"/>
      <c r="AK18" s="104"/>
      <c r="AL18" s="104"/>
      <c r="AM18" s="105"/>
      <c r="AN18" s="103"/>
      <c r="AO18" s="104"/>
      <c r="AP18" s="104"/>
      <c r="AQ18" s="104"/>
      <c r="AR18" s="104"/>
      <c r="AS18" s="104"/>
      <c r="AT18" s="104"/>
      <c r="AU18" s="104"/>
      <c r="AV18" s="105"/>
      <c r="AW18" s="103"/>
      <c r="AX18" s="104"/>
      <c r="AY18" s="104"/>
      <c r="AZ18" s="104"/>
      <c r="BA18" s="104"/>
      <c r="BB18" s="104"/>
      <c r="BC18" s="104"/>
      <c r="BD18" s="104"/>
      <c r="BE18" s="105"/>
      <c r="BF18" s="103"/>
      <c r="BG18" s="104"/>
      <c r="BH18" s="104"/>
      <c r="BI18" s="104"/>
      <c r="BJ18" s="104"/>
      <c r="BK18" s="104"/>
      <c r="BL18" s="104"/>
      <c r="BM18" s="104"/>
      <c r="BN18" s="105"/>
      <c r="BO18" s="103"/>
      <c r="BP18" s="104"/>
      <c r="BQ18" s="104"/>
      <c r="BR18" s="104"/>
      <c r="BS18" s="104"/>
      <c r="BT18" s="104"/>
      <c r="BU18" s="104"/>
      <c r="BV18" s="104"/>
      <c r="BW18" s="105"/>
    </row>
  </sheetData>
  <sheetProtection sheet="1" objects="1" scenarios="1" insertRows="0" selectLockedCells="1"/>
  <mergeCells count="15">
    <mergeCell ref="AW2:BE2"/>
    <mergeCell ref="BF2:BN2"/>
    <mergeCell ref="BO2:BW2"/>
    <mergeCell ref="B15:B16"/>
    <mergeCell ref="D2:L2"/>
    <mergeCell ref="M2:U2"/>
    <mergeCell ref="V2:AD2"/>
    <mergeCell ref="AE2:AM2"/>
    <mergeCell ref="AN2:AV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56A93C08-31FD-48AB-ABFB-23A43A62749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119" t="s">
        <v>16</v>
      </c>
      <c r="C3" s="16">
        <v>0</v>
      </c>
    </row>
    <row r="4" spans="1:4" ht="19.5" customHeight="1" x14ac:dyDescent="0.25">
      <c r="A4" s="19"/>
      <c r="B4" s="12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31</v>
      </c>
      <c r="C3" s="27">
        <v>0</v>
      </c>
    </row>
    <row r="4" spans="2:3" ht="18.75" thickBot="1" x14ac:dyDescent="0.3">
      <c r="B4" s="26" t="s">
        <v>32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33</v>
      </c>
      <c r="B1" s="7">
        <v>1</v>
      </c>
      <c r="C1" s="17"/>
      <c r="D1" s="85"/>
    </row>
    <row r="2" spans="1:4" ht="27.75" thickBot="1" x14ac:dyDescent="0.3">
      <c r="A2" s="8" t="s">
        <v>34</v>
      </c>
      <c r="B2" s="18" t="s">
        <v>35</v>
      </c>
      <c r="C2" s="8" t="s">
        <v>36</v>
      </c>
      <c r="D2" s="8" t="s">
        <v>37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38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2591F-5F97-468C-96E5-89AC301CA41C}">
  <sheetPr codeName="Feuil5"/>
  <dimension ref="A1:H113"/>
  <sheetViews>
    <sheetView topLeftCell="A81" workbookViewId="0">
      <selection activeCell="C59" sqref="C5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33</v>
      </c>
      <c r="B1" s="7">
        <v>1</v>
      </c>
      <c r="C1" s="17"/>
      <c r="D1" s="85"/>
    </row>
    <row r="2" spans="1:4" ht="27.75" thickBot="1" x14ac:dyDescent="0.3">
      <c r="A2" s="8" t="s">
        <v>34</v>
      </c>
      <c r="B2" s="18" t="s">
        <v>35</v>
      </c>
      <c r="C2" s="8" t="s">
        <v>36</v>
      </c>
      <c r="D2" s="8" t="s">
        <v>37</v>
      </c>
    </row>
    <row r="3" spans="1:4" s="52" customFormat="1" x14ac:dyDescent="0.25">
      <c r="A3" s="5" t="s">
        <v>20</v>
      </c>
      <c r="B3" s="4">
        <v>2</v>
      </c>
      <c r="C3" s="107" t="s">
        <v>39</v>
      </c>
      <c r="D3" s="9"/>
    </row>
    <row r="4" spans="1:4" s="52" customFormat="1" ht="27" x14ac:dyDescent="0.25">
      <c r="A4" s="1" t="s">
        <v>18</v>
      </c>
      <c r="B4" s="2">
        <v>2</v>
      </c>
      <c r="C4" s="109" t="s">
        <v>40</v>
      </c>
      <c r="D4" s="10"/>
    </row>
    <row r="5" spans="1:4" s="52" customFormat="1" x14ac:dyDescent="0.25">
      <c r="A5" s="1" t="s">
        <v>41</v>
      </c>
      <c r="B5" s="2">
        <v>1</v>
      </c>
      <c r="C5" s="109" t="s">
        <v>42</v>
      </c>
      <c r="D5" s="10"/>
    </row>
    <row r="6" spans="1:4" s="52" customFormat="1" x14ac:dyDescent="0.25">
      <c r="A6" s="1" t="s">
        <v>17</v>
      </c>
      <c r="B6" s="2">
        <v>1</v>
      </c>
      <c r="C6" s="109" t="s">
        <v>43</v>
      </c>
      <c r="D6" s="10"/>
    </row>
    <row r="7" spans="1:4" s="52" customFormat="1" x14ac:dyDescent="0.25">
      <c r="A7" s="1" t="s">
        <v>41</v>
      </c>
      <c r="B7" s="2">
        <v>1</v>
      </c>
      <c r="C7" s="109" t="s">
        <v>44</v>
      </c>
      <c r="D7" s="10"/>
    </row>
    <row r="8" spans="1:4" s="52" customFormat="1" x14ac:dyDescent="0.25">
      <c r="A8" s="1" t="s">
        <v>17</v>
      </c>
      <c r="B8" s="2">
        <v>1</v>
      </c>
      <c r="C8" s="109" t="s">
        <v>45</v>
      </c>
      <c r="D8" s="10"/>
    </row>
    <row r="9" spans="1:4" s="52" customFormat="1" x14ac:dyDescent="0.25">
      <c r="A9" s="2" t="s">
        <v>20</v>
      </c>
      <c r="B9" s="2">
        <v>1</v>
      </c>
      <c r="C9" s="109" t="s">
        <v>46</v>
      </c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38</v>
      </c>
      <c r="B13" s="12">
        <f>SUM(B3:B12)</f>
        <v>9</v>
      </c>
      <c r="C13" s="86" t="s">
        <v>47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33</v>
      </c>
      <c r="B15" s="7">
        <v>2</v>
      </c>
      <c r="C15" s="17"/>
      <c r="D15" s="85"/>
    </row>
    <row r="16" spans="1:4" ht="27.75" thickBot="1" x14ac:dyDescent="0.3">
      <c r="A16" s="8" t="s">
        <v>34</v>
      </c>
      <c r="B16" s="18" t="s">
        <v>35</v>
      </c>
      <c r="C16" s="8" t="s">
        <v>36</v>
      </c>
      <c r="D16" s="8" t="s">
        <v>37</v>
      </c>
    </row>
    <row r="17" spans="1:8" x14ac:dyDescent="0.25">
      <c r="A17" s="5" t="s">
        <v>19</v>
      </c>
      <c r="B17" s="4">
        <v>9</v>
      </c>
      <c r="C17" s="9" t="s">
        <v>48</v>
      </c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38</v>
      </c>
      <c r="B27" s="12">
        <f>SUM(B17:B26)</f>
        <v>9</v>
      </c>
      <c r="C27" s="86" t="s">
        <v>47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33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34</v>
      </c>
      <c r="B30" s="18" t="s">
        <v>35</v>
      </c>
      <c r="C30" s="8" t="s">
        <v>36</v>
      </c>
      <c r="D30" s="8" t="s">
        <v>37</v>
      </c>
      <c r="F30" s="38"/>
      <c r="G30" s="39"/>
      <c r="H30" s="39"/>
    </row>
    <row r="31" spans="1:8" ht="14.25" x14ac:dyDescent="0.3">
      <c r="A31" s="5" t="s">
        <v>19</v>
      </c>
      <c r="B31" s="4">
        <v>9</v>
      </c>
      <c r="C31" s="9" t="s">
        <v>49</v>
      </c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38</v>
      </c>
      <c r="B41" s="12">
        <f>SUM(B31:B40)</f>
        <v>9</v>
      </c>
      <c r="C41" s="86" t="s">
        <v>47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33</v>
      </c>
      <c r="B43" s="7">
        <v>4</v>
      </c>
      <c r="C43" s="17"/>
      <c r="D43" s="85"/>
    </row>
    <row r="44" spans="1:4" ht="27.75" thickBot="1" x14ac:dyDescent="0.3">
      <c r="A44" s="8" t="s">
        <v>34</v>
      </c>
      <c r="B44" s="18" t="s">
        <v>35</v>
      </c>
      <c r="C44" s="8" t="s">
        <v>36</v>
      </c>
      <c r="D44" s="8" t="s">
        <v>37</v>
      </c>
    </row>
    <row r="45" spans="1:4" x14ac:dyDescent="0.25">
      <c r="A45" s="5" t="s">
        <v>19</v>
      </c>
      <c r="B45" s="4">
        <v>9</v>
      </c>
      <c r="C45" s="9" t="s">
        <v>50</v>
      </c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38</v>
      </c>
      <c r="B55" s="12">
        <f>SUM(B45:B54)</f>
        <v>9</v>
      </c>
      <c r="C55" s="86" t="s">
        <v>47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33</v>
      </c>
      <c r="B57" s="7">
        <v>5</v>
      </c>
      <c r="C57" s="17"/>
      <c r="D57" s="85"/>
    </row>
    <row r="58" spans="1:4" ht="27.75" thickBot="1" x14ac:dyDescent="0.3">
      <c r="A58" s="8" t="s">
        <v>34</v>
      </c>
      <c r="B58" s="18" t="s">
        <v>35</v>
      </c>
      <c r="C58" s="8" t="s">
        <v>36</v>
      </c>
      <c r="D58" s="8" t="s">
        <v>37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38</v>
      </c>
      <c r="B69" s="12">
        <f>SUM(B59:B68)</f>
        <v>0</v>
      </c>
      <c r="C69" s="86" t="s">
        <v>47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33</v>
      </c>
      <c r="B71" s="7">
        <v>6</v>
      </c>
      <c r="C71" s="17"/>
      <c r="D71" s="85"/>
    </row>
    <row r="72" spans="1:4" ht="27.75" thickBot="1" x14ac:dyDescent="0.3">
      <c r="A72" s="8" t="s">
        <v>34</v>
      </c>
      <c r="B72" s="18" t="s">
        <v>35</v>
      </c>
      <c r="C72" s="8" t="s">
        <v>36</v>
      </c>
      <c r="D72" s="8" t="s">
        <v>37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38</v>
      </c>
      <c r="B83" s="12">
        <f>SUM(B73:B82)</f>
        <v>0</v>
      </c>
      <c r="C83" s="86" t="s">
        <v>47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33</v>
      </c>
      <c r="B85" s="7">
        <v>7</v>
      </c>
      <c r="C85" s="17"/>
      <c r="D85" s="85"/>
    </row>
    <row r="86" spans="1:4" ht="27.75" thickBot="1" x14ac:dyDescent="0.3">
      <c r="A86" s="8" t="s">
        <v>34</v>
      </c>
      <c r="B86" s="18" t="s">
        <v>35</v>
      </c>
      <c r="C86" s="8" t="s">
        <v>36</v>
      </c>
      <c r="D86" s="8" t="s">
        <v>37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38</v>
      </c>
      <c r="B97" s="12">
        <f>SUM(B87:B96)</f>
        <v>0</v>
      </c>
      <c r="C97" s="86" t="s">
        <v>47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33</v>
      </c>
      <c r="B99" s="7">
        <v>8</v>
      </c>
      <c r="C99" s="17"/>
      <c r="D99" s="85"/>
    </row>
    <row r="100" spans="1:4" ht="27.75" thickBot="1" x14ac:dyDescent="0.3">
      <c r="A100" s="8" t="s">
        <v>34</v>
      </c>
      <c r="B100" s="18" t="s">
        <v>35</v>
      </c>
      <c r="C100" s="8" t="s">
        <v>36</v>
      </c>
      <c r="D100" s="8" t="s">
        <v>37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38</v>
      </c>
      <c r="B111" s="12">
        <f>SUM(B101:B110)</f>
        <v>0</v>
      </c>
      <c r="C111" s="86" t="s">
        <v>47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6DBE59CB-FB81-453F-8768-50A8363082C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5D04BCA-09E5-4A0C-AF8E-86F85E523A0F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42BC6F4-5C99-45B1-88E4-E777B21A998A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5FE70663-D97A-4997-A008-61A69A22AD06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33</v>
      </c>
      <c r="B1" s="43">
        <v>1</v>
      </c>
      <c r="C1" s="44" t="s">
        <v>52</v>
      </c>
      <c r="D1" s="53"/>
    </row>
    <row r="2" spans="1:4" ht="27.75" thickBot="1" x14ac:dyDescent="0.3">
      <c r="A2" s="45" t="s">
        <v>34</v>
      </c>
      <c r="B2" s="46" t="s">
        <v>35</v>
      </c>
      <c r="C2" s="45" t="s">
        <v>36</v>
      </c>
      <c r="D2" s="45" t="s">
        <v>37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38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6C61A-94B4-466C-ADE0-772AE588B75F}">
  <sheetPr codeName="Feuil9"/>
  <dimension ref="A1:H153"/>
  <sheetViews>
    <sheetView topLeftCell="A133" zoomScaleNormal="100" workbookViewId="0">
      <selection activeCell="C140" sqref="C14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33</v>
      </c>
      <c r="B1" s="43">
        <v>1</v>
      </c>
      <c r="C1" s="44" t="s">
        <v>52</v>
      </c>
      <c r="D1" s="53">
        <f>Donnees!$C$9</f>
        <v>45737</v>
      </c>
    </row>
    <row r="2" spans="1:4" ht="27.75" thickBot="1" x14ac:dyDescent="0.3">
      <c r="A2" s="45" t="s">
        <v>34</v>
      </c>
      <c r="B2" s="46" t="s">
        <v>35</v>
      </c>
      <c r="C2" s="45" t="s">
        <v>36</v>
      </c>
      <c r="D2" s="45" t="s">
        <v>37</v>
      </c>
    </row>
    <row r="3" spans="1:4" s="52" customFormat="1" x14ac:dyDescent="0.25">
      <c r="A3" s="108"/>
      <c r="B3" s="4"/>
      <c r="C3" s="107"/>
      <c r="D3" s="9"/>
    </row>
    <row r="4" spans="1:4" s="52" customFormat="1" x14ac:dyDescent="0.25">
      <c r="A4" s="1"/>
      <c r="B4" s="2"/>
      <c r="C4" s="109"/>
      <c r="D4" s="10"/>
    </row>
    <row r="5" spans="1:4" s="52" customFormat="1" x14ac:dyDescent="0.25">
      <c r="A5" s="1"/>
      <c r="B5" s="2"/>
      <c r="C5" s="109"/>
      <c r="D5" s="10"/>
    </row>
    <row r="6" spans="1:4" s="52" customFormat="1" x14ac:dyDescent="0.25">
      <c r="A6" s="1"/>
      <c r="B6" s="2"/>
      <c r="C6" s="109"/>
      <c r="D6" s="10"/>
    </row>
    <row r="7" spans="1:4" s="52" customFormat="1" x14ac:dyDescent="0.25">
      <c r="A7" s="1"/>
      <c r="B7" s="2"/>
      <c r="C7" s="109"/>
      <c r="D7" s="10"/>
    </row>
    <row r="8" spans="1:4" s="52" customFormat="1" x14ac:dyDescent="0.25">
      <c r="A8" s="1"/>
      <c r="B8" s="2"/>
      <c r="C8" s="109"/>
      <c r="D8" s="10"/>
    </row>
    <row r="9" spans="1:4" s="52" customFormat="1" x14ac:dyDescent="0.25">
      <c r="A9" s="1"/>
      <c r="B9" s="2"/>
      <c r="C9" s="109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38</v>
      </c>
      <c r="B18" s="47">
        <f>SUM(B3:B17)</f>
        <v>0</v>
      </c>
      <c r="C18" s="106" t="s">
        <v>47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33</v>
      </c>
      <c r="B20" s="43">
        <v>2</v>
      </c>
      <c r="C20" s="44" t="s">
        <v>52</v>
      </c>
      <c r="D20" s="53">
        <f>$D$1+7</f>
        <v>45744</v>
      </c>
    </row>
    <row r="21" spans="1:8" ht="27.75" thickBot="1" x14ac:dyDescent="0.3">
      <c r="A21" s="45" t="s">
        <v>34</v>
      </c>
      <c r="B21" s="46" t="s">
        <v>35</v>
      </c>
      <c r="C21" s="45" t="s">
        <v>36</v>
      </c>
      <c r="D21" s="45" t="s">
        <v>37</v>
      </c>
    </row>
    <row r="22" spans="1:8" x14ac:dyDescent="0.25">
      <c r="A22" s="5"/>
      <c r="B22" s="4"/>
      <c r="C22" s="107"/>
      <c r="D22" s="9"/>
    </row>
    <row r="23" spans="1:8" x14ac:dyDescent="0.25">
      <c r="A23" s="1"/>
      <c r="B23" s="2"/>
      <c r="C23" s="109"/>
      <c r="D23" s="10"/>
    </row>
    <row r="24" spans="1:8" x14ac:dyDescent="0.25">
      <c r="A24" s="1"/>
      <c r="B24" s="2"/>
      <c r="C24" s="109"/>
      <c r="D24" s="10"/>
    </row>
    <row r="25" spans="1:8" ht="12.75" customHeight="1" x14ac:dyDescent="0.25">
      <c r="A25" s="1"/>
      <c r="B25" s="2"/>
      <c r="C25" s="109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38</v>
      </c>
      <c r="B37" s="47">
        <f>SUM(B22:B36)</f>
        <v>0</v>
      </c>
      <c r="C37" s="106" t="s">
        <v>47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33</v>
      </c>
      <c r="B39" s="43">
        <v>3</v>
      </c>
      <c r="C39" s="44" t="s">
        <v>52</v>
      </c>
      <c r="D39" s="53">
        <f>$D$20+7</f>
        <v>45751</v>
      </c>
    </row>
    <row r="40" spans="1:8" ht="27.75" thickBot="1" x14ac:dyDescent="0.3">
      <c r="A40" s="45" t="s">
        <v>34</v>
      </c>
      <c r="B40" s="46" t="s">
        <v>35</v>
      </c>
      <c r="C40" s="45" t="s">
        <v>36</v>
      </c>
      <c r="D40" s="45" t="s">
        <v>37</v>
      </c>
    </row>
    <row r="41" spans="1:8" x14ac:dyDescent="0.25">
      <c r="A41" s="5"/>
      <c r="B41" s="4"/>
      <c r="C41" s="107"/>
      <c r="D41" s="9"/>
    </row>
    <row r="42" spans="1:8" x14ac:dyDescent="0.25">
      <c r="A42" s="1"/>
      <c r="B42" s="2"/>
      <c r="C42" s="109"/>
      <c r="D42" s="10"/>
    </row>
    <row r="43" spans="1:8" x14ac:dyDescent="0.25">
      <c r="A43" s="1"/>
      <c r="B43" s="2"/>
      <c r="C43" s="109"/>
      <c r="D43" s="10"/>
    </row>
    <row r="44" spans="1:8" x14ac:dyDescent="0.25">
      <c r="A44" s="1"/>
      <c r="B44" s="2"/>
      <c r="C44" s="109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38</v>
      </c>
      <c r="B56" s="47">
        <f>SUM(B41:B55)</f>
        <v>0</v>
      </c>
      <c r="C56" s="106" t="s">
        <v>47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33</v>
      </c>
      <c r="B58" s="43">
        <v>4</v>
      </c>
      <c r="C58" s="44" t="s">
        <v>52</v>
      </c>
      <c r="D58" s="53">
        <f>$D$39+7</f>
        <v>45758</v>
      </c>
    </row>
    <row r="59" spans="1:4" ht="27.75" thickBot="1" x14ac:dyDescent="0.3">
      <c r="A59" s="45" t="s">
        <v>34</v>
      </c>
      <c r="B59" s="46" t="s">
        <v>35</v>
      </c>
      <c r="C59" s="45" t="s">
        <v>36</v>
      </c>
      <c r="D59" s="45" t="s">
        <v>37</v>
      </c>
    </row>
    <row r="60" spans="1:4" x14ac:dyDescent="0.25">
      <c r="A60" s="5"/>
      <c r="B60" s="4"/>
      <c r="C60" s="107"/>
      <c r="D60" s="9"/>
    </row>
    <row r="61" spans="1:4" x14ac:dyDescent="0.25">
      <c r="A61" s="1"/>
      <c r="B61" s="2"/>
      <c r="C61" s="109"/>
      <c r="D61" s="10"/>
    </row>
    <row r="62" spans="1:4" x14ac:dyDescent="0.25">
      <c r="A62" s="1"/>
      <c r="B62" s="2"/>
      <c r="C62" s="109"/>
      <c r="D62" s="10"/>
    </row>
    <row r="63" spans="1:4" x14ac:dyDescent="0.25">
      <c r="A63" s="1"/>
      <c r="B63" s="2"/>
      <c r="C63" s="109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38</v>
      </c>
      <c r="B75" s="47">
        <f>SUM(B60:B74)</f>
        <v>0</v>
      </c>
      <c r="C75" s="106" t="s">
        <v>47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33</v>
      </c>
      <c r="B77" s="43">
        <v>5</v>
      </c>
      <c r="C77" s="44" t="s">
        <v>52</v>
      </c>
      <c r="D77" s="53">
        <f>$D$58+7</f>
        <v>45765</v>
      </c>
    </row>
    <row r="78" spans="1:4" ht="27.75" thickBot="1" x14ac:dyDescent="0.3">
      <c r="A78" s="45" t="s">
        <v>34</v>
      </c>
      <c r="B78" s="46" t="s">
        <v>35</v>
      </c>
      <c r="C78" s="45" t="s">
        <v>36</v>
      </c>
      <c r="D78" s="45" t="s">
        <v>37</v>
      </c>
    </row>
    <row r="79" spans="1:4" x14ac:dyDescent="0.25">
      <c r="A79" s="5"/>
      <c r="B79" s="4"/>
      <c r="C79" s="107"/>
      <c r="D79" s="9"/>
    </row>
    <row r="80" spans="1:4" x14ac:dyDescent="0.25">
      <c r="A80" s="1"/>
      <c r="B80" s="2"/>
      <c r="C80" s="109"/>
      <c r="D80" s="10"/>
    </row>
    <row r="81" spans="1:4" x14ac:dyDescent="0.25">
      <c r="A81" s="1"/>
      <c r="B81" s="2"/>
      <c r="C81" s="109"/>
      <c r="D81" s="10"/>
    </row>
    <row r="82" spans="1:4" x14ac:dyDescent="0.25">
      <c r="A82" s="1"/>
      <c r="B82" s="2"/>
      <c r="C82" s="109"/>
      <c r="D82" s="10"/>
    </row>
    <row r="83" spans="1:4" x14ac:dyDescent="0.25">
      <c r="A83" s="1"/>
      <c r="B83" s="2"/>
      <c r="D83" s="20" t="s">
        <v>13</v>
      </c>
    </row>
    <row r="84" spans="1:4" x14ac:dyDescent="0.25">
      <c r="A84" s="1"/>
      <c r="B84" s="2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38</v>
      </c>
      <c r="B94" s="47">
        <f>SUM(B79:B93)</f>
        <v>0</v>
      </c>
      <c r="C94" s="106" t="s">
        <v>47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33</v>
      </c>
      <c r="B96" s="43">
        <v>6</v>
      </c>
      <c r="C96" s="44" t="s">
        <v>52</v>
      </c>
      <c r="D96" s="53">
        <f>$D$77+7</f>
        <v>45772</v>
      </c>
    </row>
    <row r="97" spans="1:4" ht="27.75" thickBot="1" x14ac:dyDescent="0.3">
      <c r="A97" s="45" t="s">
        <v>34</v>
      </c>
      <c r="B97" s="46" t="s">
        <v>35</v>
      </c>
      <c r="C97" s="45" t="s">
        <v>36</v>
      </c>
      <c r="D97" s="45" t="s">
        <v>37</v>
      </c>
    </row>
    <row r="98" spans="1:4" x14ac:dyDescent="0.25">
      <c r="A98" s="5"/>
      <c r="B98" s="4"/>
      <c r="C98" s="110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38</v>
      </c>
      <c r="B113" s="47">
        <f>SUM(B98:B112)</f>
        <v>0</v>
      </c>
      <c r="C113" s="106" t="s">
        <v>47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33</v>
      </c>
      <c r="B115" s="43">
        <v>7</v>
      </c>
      <c r="C115" s="44" t="s">
        <v>52</v>
      </c>
      <c r="D115" s="53">
        <f>$D$96+7</f>
        <v>45779</v>
      </c>
    </row>
    <row r="116" spans="1:4" ht="27.75" thickBot="1" x14ac:dyDescent="0.3">
      <c r="A116" s="45" t="s">
        <v>34</v>
      </c>
      <c r="B116" s="46" t="s">
        <v>35</v>
      </c>
      <c r="C116" s="45" t="s">
        <v>36</v>
      </c>
      <c r="D116" s="45" t="s">
        <v>37</v>
      </c>
    </row>
    <row r="117" spans="1:4" x14ac:dyDescent="0.25">
      <c r="A117" s="5"/>
      <c r="B117" s="4"/>
      <c r="C117" s="110"/>
      <c r="D117" s="9"/>
    </row>
    <row r="118" spans="1:4" x14ac:dyDescent="0.25">
      <c r="A118" s="1"/>
      <c r="B118" s="2"/>
      <c r="C118" s="111"/>
      <c r="D118" s="10"/>
    </row>
    <row r="119" spans="1:4" x14ac:dyDescent="0.25">
      <c r="A119" s="1"/>
      <c r="B119" s="2"/>
      <c r="C119" s="111"/>
      <c r="D119" s="10"/>
    </row>
    <row r="120" spans="1:4" x14ac:dyDescent="0.25">
      <c r="A120" s="1"/>
      <c r="B120" s="2"/>
      <c r="C120" s="111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38</v>
      </c>
      <c r="B132" s="47">
        <f>SUM(B117:B131)</f>
        <v>0</v>
      </c>
      <c r="C132" s="106" t="s">
        <v>47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33</v>
      </c>
      <c r="B134" s="43">
        <v>8</v>
      </c>
      <c r="C134" s="44" t="s">
        <v>52</v>
      </c>
      <c r="D134" s="53">
        <f>$D$115+7</f>
        <v>45786</v>
      </c>
    </row>
    <row r="135" spans="1:4" ht="27.75" thickBot="1" x14ac:dyDescent="0.3">
      <c r="A135" s="45" t="s">
        <v>34</v>
      </c>
      <c r="B135" s="46" t="s">
        <v>35</v>
      </c>
      <c r="C135" s="45" t="s">
        <v>36</v>
      </c>
      <c r="D135" s="45" t="s">
        <v>37</v>
      </c>
    </row>
    <row r="136" spans="1:4" x14ac:dyDescent="0.25">
      <c r="A136" s="5"/>
      <c r="B136" s="4"/>
      <c r="C136" s="110"/>
      <c r="D136" s="9"/>
    </row>
    <row r="137" spans="1:4" x14ac:dyDescent="0.25">
      <c r="A137" s="1"/>
      <c r="B137" s="2"/>
      <c r="C137" s="111"/>
      <c r="D137" s="10"/>
    </row>
    <row r="138" spans="1:4" x14ac:dyDescent="0.25">
      <c r="A138" s="1"/>
      <c r="B138" s="2"/>
      <c r="C138" s="111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38</v>
      </c>
      <c r="B151" s="47">
        <f>SUM(B136:B150)</f>
        <v>0</v>
      </c>
      <c r="C151" s="106" t="s">
        <v>47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51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334D998-42A1-4A73-871E-8C60EEC169F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F8CDBD8-A6B7-4FD9-A5A7-C4413DCF5A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6DB7969-BC30-4121-AEAA-13B79556A3B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61B7266F-D941-46A0-81BE-08B56C0494E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Schertenleib</dc:creator>
  <cp:keywords/>
  <dc:description/>
  <cp:lastModifiedBy>Romain Schertenleib</cp:lastModifiedBy>
  <cp:revision/>
  <dcterms:created xsi:type="dcterms:W3CDTF">1996-10-21T11:03:58Z</dcterms:created>
  <dcterms:modified xsi:type="dcterms:W3CDTF">2025-03-21T14:11:16Z</dcterms:modified>
  <cp:category/>
  <cp:contentStatus/>
</cp:coreProperties>
</file>